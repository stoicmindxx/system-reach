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 Profit Diagnos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B0BEC5"/>
      <sz val="11"/>
    </font>
    <font>
      <name val="Calibri"/>
      <i val="1"/>
      <color rgb="00546E7A"/>
      <sz val="11"/>
    </font>
    <font>
      <name val="Calibri"/>
      <i val="1"/>
      <color rgb="00B0BEC5"/>
      <sz val="11"/>
    </font>
    <font>
      <name val="Calibri"/>
      <b val="1"/>
      <color rgb="00FFFFFF"/>
      <sz val="13"/>
    </font>
    <font>
      <name val="Calibri"/>
      <color rgb="00263238"/>
      <sz val="11"/>
    </font>
    <font>
      <name val="Calibri"/>
      <b val="1"/>
      <color rgb="001B2A4A"/>
      <sz val="12"/>
    </font>
    <font>
      <name val="Calibri"/>
      <i val="1"/>
      <color rgb="0078909C"/>
      <sz val="10"/>
    </font>
    <font>
      <name val="Calibri"/>
      <color rgb="0037474F"/>
      <sz val="11"/>
    </font>
    <font>
      <name val="Calibri"/>
      <b val="1"/>
      <color rgb="0037474F"/>
      <sz val="11"/>
    </font>
    <font>
      <name val="Calibri"/>
      <b val="1"/>
      <color rgb="001B5E20"/>
      <sz val="12"/>
    </font>
    <font>
      <name val="Calibri"/>
      <b val="1"/>
      <color rgb="001B5E20"/>
      <sz val="14"/>
    </font>
    <font>
      <name val="Calibri"/>
      <b val="1"/>
      <i val="1"/>
      <color rgb="001B5E20"/>
      <sz val="10"/>
    </font>
    <font>
      <name val="Calibri"/>
      <b val="1"/>
      <color rgb="00B71C1C"/>
      <sz val="12"/>
    </font>
    <font>
      <name val="Calibri"/>
      <b val="1"/>
      <color rgb="00B71C1C"/>
      <sz val="14"/>
    </font>
    <font>
      <name val="Calibri"/>
      <b val="1"/>
      <i val="1"/>
      <color rgb="00B71C1C"/>
      <sz val="10"/>
    </font>
    <font>
      <name val="Calibri"/>
      <b val="1"/>
      <color rgb="00B71C1C"/>
      <sz val="13"/>
    </font>
    <font>
      <name val="Calibri"/>
      <b val="1"/>
      <color rgb="00B71C1C"/>
      <sz val="16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C3E6B"/>
        <bgColor rgb="002C3E6B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</fills>
  <borders count="3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4" fontId="7" fillId="5" borderId="2" applyAlignment="1" applyProtection="1" pivotButton="0" quotePrefix="0" xfId="0">
      <alignment horizontal="center" vertical="center"/>
      <protection locked="0" hidden="0"/>
    </xf>
    <xf numFmtId="0" fontId="8" fillId="4" borderId="1" applyAlignment="1" pivotButton="0" quotePrefix="0" xfId="0">
      <alignment vertical="center"/>
    </xf>
    <xf numFmtId="1" fontId="7" fillId="5" borderId="2" applyAlignment="1" applyProtection="1" pivotButton="0" quotePrefix="0" xfId="0">
      <alignment horizontal="center" vertical="center"/>
      <protection locked="0" hidden="0"/>
    </xf>
    <xf numFmtId="0" fontId="9" fillId="4" borderId="1" applyAlignment="1" pivotButton="0" quotePrefix="0" xfId="0">
      <alignment vertical="center"/>
    </xf>
    <xf numFmtId="164" fontId="10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vertical="center"/>
    </xf>
    <xf numFmtId="164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center"/>
    </xf>
    <xf numFmtId="0" fontId="14" fillId="7" borderId="1" applyAlignment="1" pivotButton="0" quotePrefix="0" xfId="0">
      <alignment vertical="center"/>
    </xf>
    <xf numFmtId="164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vertical="center"/>
    </xf>
    <xf numFmtId="0" fontId="17" fillId="7" borderId="1" applyAlignment="1" pivotButton="0" quotePrefix="0" xfId="0">
      <alignment vertical="center"/>
    </xf>
    <xf numFmtId="165" fontId="1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48" customWidth="1" min="3" max="3"/>
  </cols>
  <sheetData>
    <row r="1" ht="36" customHeight="1">
      <c r="A1" s="1" t="inlineStr">
        <is>
          <t>HVAC PROFIT DIAGNOSTIC</t>
        </is>
      </c>
      <c r="B1" s="2" t="n"/>
      <c r="C1" s="2" t="n"/>
    </row>
    <row r="2" ht="20" customHeight="1">
      <c r="A2" s="3" t="inlineStr">
        <is>
          <t>Find out what you should actually charge per hour. Takes 3 minutes.</t>
        </is>
      </c>
      <c r="B2" s="2" t="n"/>
      <c r="C2" s="2" t="n"/>
    </row>
    <row r="3" ht="22" customHeight="1">
      <c r="A3" s="4" t="inlineStr">
        <is>
          <t>Fill in the 4 blue cells below. Everything else calculates automatically.</t>
        </is>
      </c>
      <c r="B3" s="5" t="n"/>
      <c r="C3" s="5" t="n"/>
    </row>
    <row r="4" ht="10" customHeight="1"/>
    <row r="5" ht="28" customHeight="1">
      <c r="A5" s="6" t="inlineStr">
        <is>
          <t>YOUR NUMBERS</t>
        </is>
      </c>
      <c r="B5" s="5" t="n"/>
      <c r="C5" s="5" t="n"/>
    </row>
    <row r="6" ht="26" customHeight="1">
      <c r="A6" s="7" t="inlineStr">
        <is>
          <t>What you pay your average tech per hour:</t>
        </is>
      </c>
      <c r="B6" s="8" t="n"/>
      <c r="C6" s="9" t="inlineStr">
        <is>
          <t>e.g. $25/hr - their base wage before taxes/benefits</t>
        </is>
      </c>
    </row>
    <row r="7" ht="26" customHeight="1">
      <c r="A7" s="7" t="inlineStr">
        <is>
          <t>Your total monthly overhead (rough estimate):</t>
        </is>
      </c>
      <c r="B7" s="8" t="n"/>
      <c r="C7" s="9" t="inlineStr">
        <is>
          <t>Rent, insurance, vehicles, office staff, software, etc.</t>
        </is>
      </c>
    </row>
    <row r="8" ht="26" customHeight="1">
      <c r="A8" s="7" t="inlineStr">
        <is>
          <t>Number of techs (include yourself if you run calls):</t>
        </is>
      </c>
      <c r="B8" s="10" t="n"/>
      <c r="C8" s="9" t="inlineStr">
        <is>
          <t>Total people running service or install calls</t>
        </is>
      </c>
    </row>
    <row r="9" ht="26" customHeight="1">
      <c r="A9" s="7" t="inlineStr">
        <is>
          <t>What you currently charge per hour:</t>
        </is>
      </c>
      <c r="B9" s="8" t="n"/>
      <c r="C9" s="9" t="inlineStr">
        <is>
          <t>Your listed labor rate to customers</t>
        </is>
      </c>
    </row>
    <row r="10" ht="10" customHeight="1"/>
    <row r="11" ht="28" customHeight="1">
      <c r="A11" s="6" t="inlineStr">
        <is>
          <t>THE MATH</t>
        </is>
      </c>
      <c r="B11" s="5" t="n"/>
      <c r="C11" s="5" t="n"/>
    </row>
    <row r="12" ht="26" customHeight="1">
      <c r="A12" s="11" t="inlineStr">
        <is>
          <t>True labor cost (wage x 1.68 burden rate):</t>
        </is>
      </c>
      <c r="B12" s="12">
        <f>B6*1.68</f>
        <v/>
      </c>
      <c r="C12" s="9" t="inlineStr">
        <is>
          <t>Payroll taxes, workers comp, benefits, PTO, etc.</t>
        </is>
      </c>
    </row>
    <row r="13" ht="26" customHeight="1">
      <c r="A13" s="11" t="inlineStr">
        <is>
          <t>Overhead per billable hour:</t>
        </is>
      </c>
      <c r="B13" s="12">
        <f>B7/(B8*6*5*4.33)</f>
        <v/>
      </c>
      <c r="C13" s="9" t="inlineStr">
        <is>
          <t>Based on 6 billable hrs/day, 5 days/wk, 4.33 wks/mo</t>
        </is>
      </c>
    </row>
    <row r="14" ht="26" customHeight="1">
      <c r="A14" s="11" t="inlineStr">
        <is>
          <t>Break-even hourly cost:</t>
        </is>
      </c>
      <c r="B14" s="12">
        <f>B12+B13</f>
        <v/>
      </c>
      <c r="C14" s="9" t="inlineStr">
        <is>
          <t>You lose money on every hour below this number</t>
        </is>
      </c>
    </row>
    <row r="15" ht="10" customHeight="1"/>
    <row r="16" ht="28" customHeight="1">
      <c r="A16" s="6" t="inlineStr">
        <is>
          <t>YOUR RESULTS</t>
        </is>
      </c>
      <c r="B16" s="5" t="n"/>
      <c r="C16" s="5" t="n"/>
    </row>
    <row r="17" ht="26" customHeight="1">
      <c r="A17" s="13" t="inlineStr">
        <is>
          <t>Minimum hourly rate (50% gross margin):</t>
        </is>
      </c>
      <c r="B17" s="14">
        <f>B14/0.50</f>
        <v/>
      </c>
      <c r="C17" s="15" t="inlineStr">
        <is>
          <t>This is what you should charge AT MINIMUM</t>
        </is>
      </c>
    </row>
    <row r="18" ht="26" customHeight="1">
      <c r="A18" s="16" t="inlineStr">
        <is>
          <t>Your gap per hour (how much you're undercharging):</t>
        </is>
      </c>
      <c r="B18" s="17">
        <f>B17-B9</f>
        <v/>
      </c>
      <c r="C18" s="18" t="inlineStr">
        <is>
          <t>If negative, you're leaving this much on the table every hour</t>
        </is>
      </c>
    </row>
    <row r="19" ht="30" customHeight="1">
      <c r="A19" s="19" t="inlineStr">
        <is>
          <t>Annual revenue you're leaving on the table:</t>
        </is>
      </c>
      <c r="B19" s="20">
        <f>B18*B8*6*5*52</f>
        <v/>
      </c>
      <c r="C19" s="18" t="inlineStr">
        <is>
          <t>This is the cost of undercharging across your whole team, all year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2026-02-20T20:59:18Z</dcterms:created>
  <dcterms:modified xsi:type="dcterms:W3CDTF">2026-02-20T20:59:18Z</dcterms:modified>
</cp:coreProperties>
</file>